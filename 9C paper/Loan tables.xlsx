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nkat\learning\9C paper\"/>
    </mc:Choice>
  </mc:AlternateContent>
  <xr:revisionPtr revIDLastSave="0" documentId="13_ncr:1_{BCB26BCA-A95D-4B10-A080-C4446C77100A}" xr6:coauthVersionLast="47" xr6:coauthVersionMax="47" xr10:uidLastSave="{00000000-0000-0000-0000-000000000000}"/>
  <bookViews>
    <workbookView xWindow="-120" yWindow="-120" windowWidth="29040" windowHeight="15840" xr2:uid="{BC2DD72D-882D-4350-950C-3924BF06D0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6" i="1"/>
  <c r="H27" i="1"/>
  <c r="G15" i="1"/>
  <c r="G16" i="1"/>
  <c r="G17" i="1"/>
  <c r="G18" i="1"/>
  <c r="G19" i="1"/>
  <c r="F16" i="1"/>
  <c r="F17" i="1"/>
  <c r="F18" i="1"/>
  <c r="F19" i="1"/>
  <c r="F20" i="1"/>
  <c r="F15" i="1"/>
  <c r="F10" i="1"/>
  <c r="F7" i="1"/>
  <c r="F8" i="1"/>
  <c r="F9" i="1"/>
  <c r="F6" i="1"/>
</calcChain>
</file>

<file path=xl/sharedStrings.xml><?xml version="1.0" encoding="utf-8"?>
<sst xmlns="http://schemas.openxmlformats.org/spreadsheetml/2006/main" count="64" uniqueCount="53">
  <si>
    <t>HC-C Consolidated level analysis</t>
  </si>
  <si>
    <t>Sl. No</t>
  </si>
  <si>
    <t>Description</t>
  </si>
  <si>
    <t>MDRM</t>
  </si>
  <si>
    <t>Loans secured by real estate</t>
  </si>
  <si>
    <t>BHCK1410</t>
  </si>
  <si>
    <t>Commercial and Industrial Loans to US Addresses</t>
  </si>
  <si>
    <t>4.a</t>
  </si>
  <si>
    <t>4.b</t>
  </si>
  <si>
    <t>Commercial and Industrial Loans to Non US Addresses</t>
  </si>
  <si>
    <t>BHCK1763</t>
  </si>
  <si>
    <t>BHCK1764</t>
  </si>
  <si>
    <t>6.c</t>
  </si>
  <si>
    <t>Automobile Loans</t>
  </si>
  <si>
    <t>BHCKK137</t>
  </si>
  <si>
    <t>Total Loans</t>
  </si>
  <si>
    <t>BHCK2122</t>
  </si>
  <si>
    <t>Percent of total HFI/HFS Loan book</t>
  </si>
  <si>
    <t>Amount in 1000 $</t>
  </si>
  <si>
    <t>Product Analysis</t>
  </si>
  <si>
    <t>Concentration</t>
  </si>
  <si>
    <t>1.c.1</t>
  </si>
  <si>
    <t>Loans secured by 1-4 family residential properties - Revolving Open End Loans - Domestic Offices</t>
  </si>
  <si>
    <t>BHCK1797</t>
  </si>
  <si>
    <t>1.c.2.a</t>
  </si>
  <si>
    <t>BHCK5367</t>
  </si>
  <si>
    <t>Loans secured by 1-4 family residential properties - Closed End Loans First Lien - Domestic Offices</t>
  </si>
  <si>
    <t>Loans secured by 1-4 family residential properties - Closed End Loans Junior Lien - Domestic Offices</t>
  </si>
  <si>
    <t>BHCK5368</t>
  </si>
  <si>
    <t>1.d</t>
  </si>
  <si>
    <t>Loans secured by multifamily properties - Domestic Offices</t>
  </si>
  <si>
    <t>BHCK1460</t>
  </si>
  <si>
    <t>Percentage of Real Estate loans</t>
  </si>
  <si>
    <t>Not applicable</t>
  </si>
  <si>
    <t>Loan Loss Reserves</t>
  </si>
  <si>
    <t>Sl No</t>
  </si>
  <si>
    <t>Line Item</t>
  </si>
  <si>
    <t>Amortized Cost Amount</t>
  </si>
  <si>
    <t>Allowance Amount</t>
  </si>
  <si>
    <t>% Allowance</t>
  </si>
  <si>
    <t>1.a</t>
  </si>
  <si>
    <t>1.b</t>
  </si>
  <si>
    <t>1.c</t>
  </si>
  <si>
    <t>Construction Loans</t>
  </si>
  <si>
    <t>Commercial Real Estate Loans</t>
  </si>
  <si>
    <t>Residential Real Estate Loans</t>
  </si>
  <si>
    <t>BHCKJJ04</t>
  </si>
  <si>
    <t>BHCKJJ05</t>
  </si>
  <si>
    <t>BHCKJJ06</t>
  </si>
  <si>
    <t>BHCKJJ12</t>
  </si>
  <si>
    <t>BHCKJJ13</t>
  </si>
  <si>
    <t>BHCKJJ14</t>
  </si>
  <si>
    <t>MDRM2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</si>
</sst>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9" fontId="0" fillId="0" borderId="0" xfId="1" applyFont="1"/>
    <xf numFmtId="0" fontId="0" fillId="3" borderId="1" xfId="0" applyFill="1" applyBorder="1"/>
    <xf numFmtId="0" fontId="0" fillId="3" borderId="2" xfId="0" applyFill="1" applyBorder="1"/>
    <xf numFmtId="0" fontId="3" fillId="2" borderId="3" xfId="0" applyFont="1" applyFill="1" applyBorder="1"/>
    <xf numFmtId="0" fontId="3" fillId="2" borderId="4" xfId="0" applyFont="1" applyFill="1" applyBorder="1"/>
    <xf numFmtId="10" fontId="0" fillId="0" borderId="0" xfId="0" applyNumberFormat="1"/>
    <xf numFmtId="10" fontId="0" fillId="3" borderId="2" xfId="1" applyNumberFormat="1" applyFont="1" applyFill="1" applyBorder="1"/>
    <xf numFmtId="10" fontId="0" fillId="0" borderId="0" xfId="1" applyNumberFormat="1" applyFont="1" applyAlignment="1">
      <alignment horizontal="left" indent="8"/>
    </xf>
  </cellXfs>
  <cellStyles count="2">
    <cellStyle name="Normal" xfId="0" builtinId="0"/>
    <cellStyle name="Percent" xfId="1" builtinId="5"/>
  </cellStyles>
  <dxfs count="8">
    <dxf>
      <numFmt numFmtId="14" formatCode="0.00%"/>
      <alignment horizontal="left" vertical="bottom" textRotation="0" wrapText="0" relativeIndent="-1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7A642-FCE2-4DCD-AED5-E8844A8B5B30}" name="Table1" displayName="Table1" ref="B5:F10" totalsRowShown="0" headerRowDxfId="7">
  <autoFilter ref="B5:F10" xr:uid="{8517A642-FCE2-4DCD-AED5-E8844A8B5B30}"/>
  <tableColumns count="5">
    <tableColumn id="1" xr3:uid="{573C9749-A08C-43DA-B2A5-93F64CCF246A}" name="Sl. No"/>
    <tableColumn id="2" xr3:uid="{3B78083A-ED7A-45A3-83AC-6F2CDA560D18}" name="Description"/>
    <tableColumn id="3" xr3:uid="{0AC50BB6-46FA-4593-B6C4-305605C8AACE}" name="MDRM"/>
    <tableColumn id="4" xr3:uid="{D99C93A0-EFCF-4043-9732-1A7161FFDD19}" name="Amount in 1000 $"/>
    <tableColumn id="5" xr3:uid="{557A5625-0BF5-4D82-B551-24840DC92FA6}" name="Percent of total HFI/HFS Loan book" dataDxfId="6" dataCellStyle="Percent">
      <calculatedColumnFormula>E6/$E$10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4CA048-1046-47FC-B6C0-BA94B939D863}" name="Table2" displayName="Table2" ref="B14:G20" totalsRowShown="0" headerRowDxfId="5" headerRowBorderDxfId="4" tableBorderDxfId="3">
  <autoFilter ref="B14:G20" xr:uid="{984CA048-1046-47FC-B6C0-BA94B939D863}"/>
  <tableColumns count="6">
    <tableColumn id="1" xr3:uid="{052E57B4-2EA8-40E8-A549-56404179C46D}" name="Sl. No"/>
    <tableColumn id="2" xr3:uid="{83D5101D-131F-4990-9EFE-456FA4D40E2B}" name="Description"/>
    <tableColumn id="3" xr3:uid="{8A607CF1-2964-4CD3-8EF6-A3291C0F6F6E}" name="MDRM"/>
    <tableColumn id="4" xr3:uid="{F3959387-018A-4249-A8C8-0C9C20F8B0EB}" name="Amount in 1000 $"/>
    <tableColumn id="5" xr3:uid="{F64D0227-2028-4500-A7D4-69324768E7B0}" name="Percent of total HFI/HFS Loan book" dataDxfId="2" dataCellStyle="Percent">
      <calculatedColumnFormula>E15/$E$20</calculatedColumnFormula>
    </tableColumn>
    <tableColumn id="6" xr3:uid="{EA35819E-0EB4-45B5-86CD-2AEF0F9645D5}" name="Percentage of Real Estate loans" dataDxfId="1">
      <calculatedColumnFormula>Table2[[#This Row],[Amount in 1000 $]]/$E$15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37F86-C9F8-4A40-90E2-5F7D3B0F2756}" name="Table3" displayName="Table3" ref="B24:H27" totalsRowShown="0">
  <autoFilter ref="B24:H27" xr:uid="{B4F37F86-C9F8-4A40-90E2-5F7D3B0F2756}"/>
  <tableColumns count="7">
    <tableColumn id="1" xr3:uid="{F45BF4BE-3D8D-42F8-98D4-C330E85C07BF}" name="Sl No"/>
    <tableColumn id="2" xr3:uid="{5F8514A2-5156-40DB-9011-FD94A369BE9A}" name="Line Item"/>
    <tableColumn id="3" xr3:uid="{35F91FD6-ADA6-4EEE-A4A6-FB69EA62A9B9}" name="MDRM"/>
    <tableColumn id="4" xr3:uid="{87216531-FF98-4839-9C27-76130B3B7DBA}" name="Amortized Cost Amount"/>
    <tableColumn id="5" xr3:uid="{BA0A3F1C-BC91-4C19-B85F-233FC7FD9BC5}" name="MDRM2"/>
    <tableColumn id="6" xr3:uid="{18FF27AA-D57F-4AA7-A552-B47F484B3AA4}" name="Allowance Amount"/>
    <tableColumn id="7" xr3:uid="{7A795B2D-3843-4BE8-B3C6-3AF3561F64B0}" name="% Allowance" dataDxfId="0" dataCellStyle="Percent">
      <calculatedColumnFormula>Table3[[#This Row],[Allowance Amount]]/Table3[[#This Row],[Amortized Cost Amount]]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7241-64D5-4D40-8091-7CCB877DE37C}">
  <dimension ref="B2:H27"/>
  <sheetViews>
    <sheetView tabSelected="1" topLeftCell="A14" workbookViewId="0">
      <selection activeCell="B24" sqref="B24:H27"/>
    </sheetView>
  </sheetViews>
  <sheetFormatPr defaultRowHeight="15" x14ac:dyDescent="0.25"/>
  <cols>
    <col min="3" max="3" width="90.85546875" bestFit="1" customWidth="1"/>
    <col min="4" max="4" width="9.28515625" customWidth="1"/>
    <col min="5" max="5" width="24.28515625" customWidth="1"/>
    <col min="6" max="6" width="33.7109375" customWidth="1"/>
    <col min="7" max="7" width="20" customWidth="1"/>
    <col min="8" max="8" width="16.5703125" bestFit="1" customWidth="1"/>
  </cols>
  <sheetData>
    <row r="2" spans="2:7" x14ac:dyDescent="0.25">
      <c r="B2" t="s">
        <v>0</v>
      </c>
    </row>
    <row r="3" spans="2:7" x14ac:dyDescent="0.25">
      <c r="B3" t="s">
        <v>19</v>
      </c>
    </row>
    <row r="5" spans="2:7" x14ac:dyDescent="0.25">
      <c r="B5" s="1" t="s">
        <v>1</v>
      </c>
      <c r="C5" s="1" t="s">
        <v>2</v>
      </c>
      <c r="D5" s="1" t="s">
        <v>3</v>
      </c>
      <c r="E5" s="1" t="s">
        <v>18</v>
      </c>
      <c r="F5" s="1" t="s">
        <v>17</v>
      </c>
    </row>
    <row r="6" spans="2:7" x14ac:dyDescent="0.25">
      <c r="B6">
        <v>1</v>
      </c>
      <c r="C6" t="s">
        <v>4</v>
      </c>
      <c r="D6" t="s">
        <v>5</v>
      </c>
      <c r="E6">
        <v>56992863</v>
      </c>
      <c r="F6" s="2">
        <f>E6/$E$10</f>
        <v>0.58300217390886278</v>
      </c>
    </row>
    <row r="7" spans="2:7" x14ac:dyDescent="0.25">
      <c r="B7" t="s">
        <v>7</v>
      </c>
      <c r="C7" t="s">
        <v>6</v>
      </c>
      <c r="D7" t="s">
        <v>10</v>
      </c>
      <c r="E7">
        <v>23329788</v>
      </c>
      <c r="F7" s="2">
        <f t="shared" ref="F7:F10" si="0">E7/$E$10</f>
        <v>0.23864948003810407</v>
      </c>
    </row>
    <row r="8" spans="2:7" x14ac:dyDescent="0.25">
      <c r="B8" t="s">
        <v>8</v>
      </c>
      <c r="C8" t="s">
        <v>9</v>
      </c>
      <c r="D8" t="s">
        <v>11</v>
      </c>
      <c r="E8">
        <v>66632</v>
      </c>
      <c r="F8" s="2">
        <f t="shared" si="0"/>
        <v>6.8160465726902235E-4</v>
      </c>
    </row>
    <row r="9" spans="2:7" x14ac:dyDescent="0.25">
      <c r="B9" t="s">
        <v>12</v>
      </c>
      <c r="C9" t="s">
        <v>13</v>
      </c>
      <c r="D9" t="s">
        <v>14</v>
      </c>
      <c r="E9">
        <v>3764610</v>
      </c>
      <c r="F9" s="2">
        <f t="shared" si="0"/>
        <v>3.8509660655563903E-2</v>
      </c>
    </row>
    <row r="10" spans="2:7" x14ac:dyDescent="0.25">
      <c r="B10">
        <v>12</v>
      </c>
      <c r="C10" t="s">
        <v>15</v>
      </c>
      <c r="D10" t="s">
        <v>16</v>
      </c>
      <c r="E10">
        <v>97757548</v>
      </c>
      <c r="F10" s="2">
        <f t="shared" si="0"/>
        <v>1</v>
      </c>
    </row>
    <row r="12" spans="2:7" x14ac:dyDescent="0.25">
      <c r="B12" t="s">
        <v>20</v>
      </c>
    </row>
    <row r="14" spans="2:7" x14ac:dyDescent="0.25">
      <c r="B14" s="5" t="s">
        <v>1</v>
      </c>
      <c r="C14" s="6" t="s">
        <v>2</v>
      </c>
      <c r="D14" s="6" t="s">
        <v>3</v>
      </c>
      <c r="E14" s="6" t="s">
        <v>18</v>
      </c>
      <c r="F14" s="6" t="s">
        <v>17</v>
      </c>
      <c r="G14" s="6" t="s">
        <v>32</v>
      </c>
    </row>
    <row r="15" spans="2:7" x14ac:dyDescent="0.25">
      <c r="B15" s="3">
        <v>1</v>
      </c>
      <c r="C15" s="4" t="s">
        <v>4</v>
      </c>
      <c r="D15" s="4" t="s">
        <v>5</v>
      </c>
      <c r="E15" s="4">
        <v>56992863</v>
      </c>
      <c r="F15" s="8">
        <f>E15/$E$20</f>
        <v>0.58300217390886278</v>
      </c>
      <c r="G15" s="7">
        <f>Table2[[#This Row],[Amount in 1000 $]]/$E$15</f>
        <v>1</v>
      </c>
    </row>
    <row r="16" spans="2:7" x14ac:dyDescent="0.25">
      <c r="B16" t="s">
        <v>21</v>
      </c>
      <c r="C16" t="s">
        <v>22</v>
      </c>
      <c r="D16" t="s">
        <v>23</v>
      </c>
      <c r="E16">
        <v>4203358</v>
      </c>
      <c r="F16" s="8">
        <f t="shared" ref="F16:F20" si="1">E16/$E$20</f>
        <v>4.2997784682569984E-2</v>
      </c>
      <c r="G16" s="7">
        <f>Table2[[#This Row],[Amount in 1000 $]]/$E$15</f>
        <v>7.3752357378501943E-2</v>
      </c>
    </row>
    <row r="17" spans="2:8" x14ac:dyDescent="0.25">
      <c r="B17" t="s">
        <v>24</v>
      </c>
      <c r="C17" t="s">
        <v>26</v>
      </c>
      <c r="D17" t="s">
        <v>25</v>
      </c>
      <c r="E17">
        <v>15450206</v>
      </c>
      <c r="F17" s="8">
        <f t="shared" si="1"/>
        <v>0.15804616948862096</v>
      </c>
      <c r="G17" s="7">
        <f>Table2[[#This Row],[Amount in 1000 $]]/$E$15</f>
        <v>0.27109018895927373</v>
      </c>
    </row>
    <row r="18" spans="2:8" x14ac:dyDescent="0.25">
      <c r="B18" t="s">
        <v>24</v>
      </c>
      <c r="C18" t="s">
        <v>27</v>
      </c>
      <c r="D18" t="s">
        <v>28</v>
      </c>
      <c r="E18">
        <v>80500</v>
      </c>
      <c r="F18" s="8">
        <f t="shared" si="1"/>
        <v>8.2346582588180305E-4</v>
      </c>
      <c r="G18" s="7">
        <f>Table2[[#This Row],[Amount in 1000 $]]/$E$15</f>
        <v>1.4124575563084101E-3</v>
      </c>
    </row>
    <row r="19" spans="2:8" x14ac:dyDescent="0.25">
      <c r="B19" t="s">
        <v>29</v>
      </c>
      <c r="C19" t="s">
        <v>30</v>
      </c>
      <c r="D19" t="s">
        <v>31</v>
      </c>
      <c r="E19">
        <v>4610954</v>
      </c>
      <c r="F19" s="8">
        <f t="shared" si="1"/>
        <v>4.7167242779043515E-2</v>
      </c>
      <c r="G19" s="7">
        <f>Table2[[#This Row],[Amount in 1000 $]]/$E$15</f>
        <v>8.0904059864478114E-2</v>
      </c>
    </row>
    <row r="20" spans="2:8" x14ac:dyDescent="0.25">
      <c r="B20">
        <v>12</v>
      </c>
      <c r="C20" t="s">
        <v>15</v>
      </c>
      <c r="D20" s="4" t="s">
        <v>16</v>
      </c>
      <c r="E20" s="4">
        <v>97757548</v>
      </c>
      <c r="F20" s="8">
        <f t="shared" si="1"/>
        <v>1</v>
      </c>
      <c r="G20" s="7" t="s">
        <v>33</v>
      </c>
    </row>
    <row r="22" spans="2:8" x14ac:dyDescent="0.25">
      <c r="B22" t="s">
        <v>34</v>
      </c>
    </row>
    <row r="24" spans="2:8" x14ac:dyDescent="0.25">
      <c r="B24" t="s">
        <v>35</v>
      </c>
      <c r="C24" t="s">
        <v>36</v>
      </c>
      <c r="D24" t="s">
        <v>3</v>
      </c>
      <c r="E24" t="s">
        <v>37</v>
      </c>
      <c r="F24" t="s">
        <v>52</v>
      </c>
      <c r="G24" t="s">
        <v>38</v>
      </c>
      <c r="H24" t="s">
        <v>39</v>
      </c>
    </row>
    <row r="25" spans="2:8" x14ac:dyDescent="0.25">
      <c r="B25" t="s">
        <v>40</v>
      </c>
      <c r="C25" t="s">
        <v>43</v>
      </c>
      <c r="D25" t="s">
        <v>46</v>
      </c>
      <c r="E25">
        <v>9571187</v>
      </c>
      <c r="F25" t="s">
        <v>49</v>
      </c>
      <c r="G25">
        <v>232917</v>
      </c>
      <c r="H25" s="9">
        <f>Table3[[#This Row],[Allowance Amount]]/Table3[[#This Row],[Amortized Cost Amount]]</f>
        <v>2.4335226132349102E-2</v>
      </c>
    </row>
    <row r="26" spans="2:8" x14ac:dyDescent="0.25">
      <c r="B26" t="s">
        <v>41</v>
      </c>
      <c r="C26" t="s">
        <v>44</v>
      </c>
      <c r="D26" t="s">
        <v>47</v>
      </c>
      <c r="E26">
        <v>27332822</v>
      </c>
      <c r="F26" t="s">
        <v>50</v>
      </c>
      <c r="G26">
        <v>343404</v>
      </c>
      <c r="H26" s="9">
        <f>Table3[[#This Row],[Allowance Amount]]/Table3[[#This Row],[Amortized Cost Amount]]</f>
        <v>1.2563796010525367E-2</v>
      </c>
    </row>
    <row r="27" spans="2:8" x14ac:dyDescent="0.25">
      <c r="B27" t="s">
        <v>42</v>
      </c>
      <c r="C27" t="s">
        <v>45</v>
      </c>
      <c r="D27" t="s">
        <v>48</v>
      </c>
      <c r="E27">
        <v>19390634</v>
      </c>
      <c r="F27" t="s">
        <v>51</v>
      </c>
      <c r="G27">
        <v>202590</v>
      </c>
      <c r="H27" s="9">
        <f>Table3[[#This Row],[Allowance Amount]]/Table3[[#This Row],[Amortized Cost Amount]]</f>
        <v>1.0447827543957563E-2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C S</dc:creator>
  <cp:lastModifiedBy>Venkat C S</cp:lastModifiedBy>
  <dcterms:created xsi:type="dcterms:W3CDTF">2025-11-08T04:05:20Z</dcterms:created>
  <dcterms:modified xsi:type="dcterms:W3CDTF">2025-11-11T04:47:04Z</dcterms:modified>
</cp:coreProperties>
</file>